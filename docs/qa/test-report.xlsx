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결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;&quot;입력 필요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B3" authorId="0" shapeId="0">
      <text>
        <t>이 프로젝트엔 아직 요구사항정의서가 없어 전체 REQ-ID 개수를 알 수 없습니다.
요구사항정의서 작성 후 실제 전체 개수를 여기에 입력하세요.
비워두면 커버리지율은 계산하지 않습니다(허위로 100%를 보여주지 않기 위함).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4" customWidth="1" min="4" max="4"/>
    <col width="42" customWidth="1" min="5" max="5"/>
    <col width="8" customWidth="1" min="6" max="6"/>
    <col width="42" customWidth="1" min="7" max="7"/>
    <col width="10" customWidth="1" min="8" max="8"/>
    <col width="34" customWidth="1" min="9" max="9"/>
  </cols>
  <sheetData>
    <row r="1">
      <c r="A1" s="1" t="inlineStr">
        <is>
          <t>테스트결과보고서 (REQ-ID 기반)</t>
        </is>
      </c>
    </row>
    <row r="3">
      <c r="A3" s="2" t="inlineStr">
        <is>
          <t>전체 요구사항(REQ-ID) 개수</t>
        </is>
      </c>
      <c r="B3" s="3" t="n"/>
      <c r="C3" s="2" t="inlineStr">
        <is>
          <t>테스트 완료 개수</t>
        </is>
      </c>
      <c r="D3" s="4">
        <f>COUNTA(F7:F100)</f>
        <v/>
      </c>
      <c r="E3" s="2" t="inlineStr">
        <is>
          <t>커버리지율</t>
        </is>
      </c>
      <c r="F3" s="5">
        <f>IF(B3="","입력 필요",D3/B3)</f>
        <v/>
      </c>
      <c r="G3" s="2" t="inlineStr">
        <is>
          <t>미테스트 개수</t>
        </is>
      </c>
      <c r="H3" s="4">
        <f>IF(B3="","-",B3-D3)</f>
        <v/>
      </c>
    </row>
    <row r="6">
      <c r="A6" s="6" t="inlineStr">
        <is>
          <t>REQ-ID</t>
        </is>
      </c>
      <c r="B6" s="6" t="inlineStr">
        <is>
          <t>기능명</t>
        </is>
      </c>
      <c r="C6" s="6" t="inlineStr">
        <is>
          <t>계층</t>
        </is>
      </c>
      <c r="D6" s="6" t="inlineStr">
        <is>
          <t>테스트 방법</t>
        </is>
      </c>
      <c r="E6" s="6" t="inlineStr">
        <is>
          <t>테스트 케이스</t>
        </is>
      </c>
      <c r="F6" s="6" t="inlineStr">
        <is>
          <t>결과</t>
        </is>
      </c>
      <c r="G6" s="6" t="inlineStr">
        <is>
          <t>증빙 링크</t>
        </is>
      </c>
      <c r="H6" s="6" t="inlineStr">
        <is>
          <t>담당자</t>
        </is>
      </c>
      <c r="I6" s="6" t="inlineStr">
        <is>
          <t>비고</t>
        </is>
      </c>
    </row>
    <row r="7">
      <c r="A7" s="7" t="inlineStr">
        <is>
          <t>REQ-AUTH-01</t>
        </is>
      </c>
      <c r="B7" s="7" t="inlineStr">
        <is>
          <t>로그인 화면 소셜 버튼 노출</t>
        </is>
      </c>
      <c r="C7" s="7" t="inlineStr">
        <is>
          <t>FE</t>
        </is>
      </c>
      <c r="D7" s="7" t="inlineStr">
        <is>
          <t>Playwright</t>
        </is>
      </c>
      <c r="E7" s="7" t="inlineStr">
        <is>
          <t>소셜 로그인 버튼 3종이 보인다</t>
        </is>
      </c>
      <c r="F7" s="8" t="inlineStr">
        <is>
          <t>Pass</t>
        </is>
      </c>
      <c r="G7" s="7" t="inlineStr">
        <is>
          <t>stevil-frontend/tests/auth.spec.ts</t>
        </is>
      </c>
      <c r="H7" s="7" t="inlineStr"/>
      <c r="I7" s="7" t="inlineStr"/>
    </row>
    <row r="8">
      <c r="A8" s="7" t="inlineStr">
        <is>
          <t>REQ-AUTH-02</t>
        </is>
      </c>
      <c r="B8" s="7" t="inlineStr">
        <is>
          <t>구글 로그인 → OAuth2 리다이렉트</t>
        </is>
      </c>
      <c r="C8" s="7" t="inlineStr">
        <is>
          <t>FE</t>
        </is>
      </c>
      <c r="D8" s="7" t="inlineStr">
        <is>
          <t>Playwright</t>
        </is>
      </c>
      <c r="E8" s="7" t="inlineStr">
        <is>
          <t>구글 로그인 버튼은 백엔드 OAuth2 엔드포인트로 이동한다</t>
        </is>
      </c>
      <c r="F8" s="8" t="inlineStr">
        <is>
          <t>Pass</t>
        </is>
      </c>
      <c r="G8" s="7" t="inlineStr">
        <is>
          <t>stevil-frontend/tests/auth.spec.ts</t>
        </is>
      </c>
      <c r="H8" s="7" t="inlineStr"/>
      <c r="I8" s="7" t="inlineStr"/>
    </row>
    <row r="9">
      <c r="A9" s="7" t="inlineStr">
        <is>
          <t>REQ-AUTH-03</t>
        </is>
      </c>
      <c r="B9" s="7" t="inlineStr">
        <is>
          <t>JWT 미제공 401 / 유효 토큰 정상 응답</t>
        </is>
      </c>
      <c r="C9" s="7" t="inlineStr">
        <is>
          <t>BE</t>
        </is>
      </c>
      <c r="D9" s="7" t="inlineStr">
        <is>
          <t>JUnit5 + AssertJ</t>
        </is>
      </c>
      <c r="E9" s="7" t="inlineStr">
        <is>
          <t>JwtInvalidTokenEndpointTest, NotificationEndpointSecurityTest, ReminderEndpointSecurityTest</t>
        </is>
      </c>
      <c r="F9" s="8" t="inlineStr">
        <is>
          <t>Pass</t>
        </is>
      </c>
      <c r="G9" s="7" t="inlineStr">
        <is>
          <t>stevil-backend/src/test/java/.../common/security/jwt/</t>
        </is>
      </c>
      <c r="H9" s="7" t="inlineStr"/>
      <c r="I9" s="7" t="inlineStr"/>
    </row>
    <row r="10">
      <c r="A10" s="7" t="inlineStr">
        <is>
          <t>REQ-USER-01</t>
        </is>
      </c>
      <c r="B10" s="7" t="inlineStr">
        <is>
          <t>이메일로 사용자 조회</t>
        </is>
      </c>
      <c r="C10" s="7" t="inlineStr">
        <is>
          <t>BE</t>
        </is>
      </c>
      <c r="D10" s="7" t="inlineStr">
        <is>
          <t>JUnit5 + Testcontainers(Postgres) + AssertJ</t>
        </is>
      </c>
      <c r="E10" s="7" t="inlineStr">
        <is>
          <t>UserRepositoryIntegrationTest#findByEmail_returnsSavedUser / #findByEmail_returnsEmptyWhenMissing</t>
        </is>
      </c>
      <c r="F10" s="8" t="inlineStr">
        <is>
          <t>Pass</t>
        </is>
      </c>
      <c r="G10" s="7" t="inlineStr">
        <is>
          <t>stevil-backend/src/test/java/.../user/repository/UserRepositoryIntegrationTest.java</t>
        </is>
      </c>
      <c r="H10" s="7" t="inlineStr"/>
      <c r="I10" s="7" t="inlineStr">
        <is>
          <t>H2 대신 실제 Postgres 컨테이너로 검증 (신규)</t>
        </is>
      </c>
    </row>
    <row r="11">
      <c r="A11" s="7" t="inlineStr">
        <is>
          <t>REQ-USER-02</t>
        </is>
      </c>
      <c r="B11" s="7" t="inlineStr">
        <is>
          <t>역할(role)별 사용자 수 카운트</t>
        </is>
      </c>
      <c r="C11" s="7" t="inlineStr">
        <is>
          <t>BE</t>
        </is>
      </c>
      <c r="D11" s="7" t="inlineStr">
        <is>
          <t>JUnit5 + Testcontainers(Postgres) + AssertJ</t>
        </is>
      </c>
      <c r="E11" s="7" t="inlineStr">
        <is>
          <t>UserRepositoryIntegrationTest#countByRole_countsOnlyMatchingRole</t>
        </is>
      </c>
      <c r="F11" s="8" t="inlineStr">
        <is>
          <t>Pass</t>
        </is>
      </c>
      <c r="G11" s="7" t="inlineStr">
        <is>
          <t>stevil-backend/src/test/java/.../user/repository/UserRepositoryIntegrationTest.java</t>
        </is>
      </c>
      <c r="H11" s="7" t="inlineStr"/>
      <c r="I11" s="7" t="inlineStr">
        <is>
          <t>신규</t>
        </is>
      </c>
    </row>
    <row r="12">
      <c r="A12" s="7" t="inlineStr">
        <is>
          <t>REQ-APP-01</t>
        </is>
      </c>
      <c r="B12" s="7" t="inlineStr">
        <is>
          <t>애플리케이션 컨텍스트 정상 기동</t>
        </is>
      </c>
      <c r="C12" s="7" t="inlineStr">
        <is>
          <t>BE</t>
        </is>
      </c>
      <c r="D12" s="7" t="inlineStr">
        <is>
          <t>SpringBootTest + Testcontainers(Postgres)</t>
        </is>
      </c>
      <c r="E12" s="7" t="inlineStr">
        <is>
          <t>StevilBackApplicationTests#contextLoads</t>
        </is>
      </c>
      <c r="F12" s="8" t="inlineStr">
        <is>
          <t>Pass</t>
        </is>
      </c>
      <c r="G12" s="7" t="inlineStr">
        <is>
          <t>stevil-backend/src/test/java/com/my/stevil_back/StevilBackApplicationTests.java</t>
        </is>
      </c>
      <c r="H12" s="7" t="inlineStr"/>
      <c r="I12" s="7" t="inlineStr">
        <is>
          <t>로컬 Postgres 없이도 기동 검증 가능하도록 수정(신규)</t>
        </is>
      </c>
    </row>
    <row r="13">
      <c r="A13" s="7" t="inlineStr">
        <is>
          <t>REQ-PLANNER-01</t>
        </is>
      </c>
      <c r="B13" s="7" t="inlineStr">
        <is>
          <t>간식 근거(FoodEvidence) 데이터 검증</t>
        </is>
      </c>
      <c r="C13" s="7" t="inlineStr">
        <is>
          <t>BE</t>
        </is>
      </c>
      <c r="D13" s="7" t="inlineStr">
        <is>
          <t>JUnit5</t>
        </is>
      </c>
      <c r="E13" s="7" t="inlineStr">
        <is>
          <t>PlannerMealTest#publishedSnacksHaveValidEvidenceAndPersistAsSnackEvents</t>
        </is>
      </c>
      <c r="F13" s="8" t="inlineStr">
        <is>
          <t>Pass</t>
        </is>
      </c>
      <c r="G13" s="7" t="inlineStr">
        <is>
          <t>stevil-backend/src/test/java/.../planner/validation/PlannerMealTest.java</t>
        </is>
      </c>
      <c r="H13" s="7" t="inlineStr"/>
      <c r="I13" s="7" t="inlineStr">
        <is>
          <t>snacks.json이 60건/9카테고리로 늘어난 게 의도된 변경(커밋 79b66ba)임을 git log로 확인, 테스트 기대값을 실제 데이터에 맞게 갱신</t>
        </is>
      </c>
    </row>
    <row r="14">
      <c r="A14" s="7" t="inlineStr">
        <is>
          <t>REQ-RAG-01</t>
        </is>
      </c>
      <c r="B14" s="7" t="inlineStr">
        <is>
          <t>RAG 코퍼스 검색(임신/췌장염 등 키워드)</t>
        </is>
      </c>
      <c r="C14" s="7" t="inlineStr">
        <is>
          <t>AI</t>
        </is>
      </c>
      <c r="D14" s="7" t="inlineStr">
        <is>
          <t>pytest(unittest)</t>
        </is>
      </c>
      <c r="E14" s="7" t="inlineStr">
        <is>
          <t>tests/test_app.py::RagTests</t>
        </is>
      </c>
      <c r="F14" s="8" t="inlineStr">
        <is>
          <t>Pass</t>
        </is>
      </c>
      <c r="G14" s="7" t="inlineStr">
        <is>
          <t>data-collection/ai-services/rag/tests/test_app.py</t>
        </is>
      </c>
      <c r="H14" s="7" t="inlineStr"/>
      <c r="I14" s="7" t="inlineStr"/>
    </row>
    <row r="15">
      <c r="A15" s="7" t="inlineStr">
        <is>
          <t>REQ-RAG-02</t>
        </is>
      </c>
      <c r="B15" s="7" t="inlineStr">
        <is>
          <t>국가별(jurisdiction) 문서 라우팅</t>
        </is>
      </c>
      <c r="C15" s="7" t="inlineStr">
        <is>
          <t>AI</t>
        </is>
      </c>
      <c r="D15" s="7" t="inlineStr">
        <is>
          <t>pytest(unittest)</t>
        </is>
      </c>
      <c r="E15" s="7" t="inlineStr">
        <is>
          <t>tests/test_extra.py::ExtraTests</t>
        </is>
      </c>
      <c r="F15" s="8" t="inlineStr">
        <is>
          <t>Pass</t>
        </is>
      </c>
      <c r="G15" s="7" t="inlineStr">
        <is>
          <t>data-collection/ai-services/rag/tests/test_extra.py</t>
        </is>
      </c>
      <c r="H15" s="7" t="inlineStr"/>
      <c r="I15" s="7" t="inlineStr">
        <is>
          <t>US/EU 데이터는 있었음(raw PDF+sources.json 존재). scripts/prepare_extra.py의 ROOT/캐시 출력 경로 버그 2건 + pypdf/cryptography 미설치가 원인. app.py의 ROOT/CACHE_DIR를 import하도록 고치고 requirements-dev.txt 추가, 클린 상태(cache 삭제)에서 재현 확인함. select/ema-naion 소스는 별도의 원본 해시 불일치(원인 미확인) 열려있는 이슈로 남김 — 임의로 해시 갱신하지 않음.</t>
        </is>
      </c>
    </row>
    <row r="16"/>
    <row r="17"/>
    <row r="18"/>
    <row r="19"/>
    <row r="20"/>
  </sheetData>
  <mergeCells count="5">
    <mergeCell ref="C3"/>
    <mergeCell ref="A3"/>
    <mergeCell ref="G3"/>
    <mergeCell ref="E3"/>
    <mergeCell ref="A1:I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2026-09-27T11:38:18Z</dcterms:created>
  <dcterms:modified xmlns:dcterms="http://purl.org/dc/terms/" xmlns:xsi="http://www.w3.org/2001/XMLSchema-instance" xsi:type="dcterms:W3CDTF">2026-09-27T13:21:57Z</dcterms:modified>
</cp:coreProperties>
</file>